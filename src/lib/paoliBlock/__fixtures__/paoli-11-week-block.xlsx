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<sst xmlns="http://schemas.openxmlformats.org/spreadsheetml/2006/main" count="37" uniqueCount="28">
  <si>
    <t>M-Th</t>
  </si>
  <si>
    <t>Friday</t>
  </si>
  <si>
    <t>Saturday</t>
  </si>
  <si>
    <t>Sunday</t>
  </si>
  <si>
    <t>Weekday</t>
  </si>
  <si>
    <t>Weekend</t>
  </si>
  <si>
    <t>F/S/S</t>
  </si>
  <si>
    <t>Weekdays M-Th</t>
  </si>
  <si>
    <t>FTE</t>
  </si>
  <si>
    <t>Weeks</t>
  </si>
  <si>
    <t>C1</t>
  </si>
  <si>
    <t>C2</t>
  </si>
  <si>
    <t>Neuro F/S/S</t>
  </si>
  <si>
    <t>Total C1</t>
  </si>
  <si>
    <t>Total C2</t>
  </si>
  <si>
    <t>Neuro</t>
  </si>
  <si>
    <t>Fridays</t>
  </si>
  <si>
    <t>Sundays</t>
  </si>
  <si>
    <t>Amusa</t>
  </si>
  <si>
    <t>Farkas</t>
  </si>
  <si>
    <t>Kalawadia</t>
  </si>
  <si>
    <t>Mojica</t>
  </si>
  <si>
    <t>Lin</t>
  </si>
  <si>
    <t>Havildar</t>
  </si>
  <si>
    <t>Horan</t>
  </si>
  <si>
    <t xml:space="preserve">Simon </t>
  </si>
  <si>
    <t>Hussain</t>
  </si>
  <si>
    <t>Jones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</si>
</sst>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.75"/>
    <col customWidth="1" min="3" max="3" width="6.0"/>
    <col customWidth="1" min="4" max="4" width="4.75"/>
    <col customWidth="1" min="5" max="5" width="5.13"/>
    <col customWidth="1" min="6" max="6" width="4.75"/>
    <col customWidth="1" min="7" max="7" width="5.38"/>
    <col customWidth="1" min="8" max="8" width="4.5"/>
    <col customWidth="1" min="9" max="9" width="4.88"/>
    <col customWidth="1" min="10" max="10" width="4.63"/>
    <col customWidth="1" min="11" max="11" width="5.13"/>
    <col customWidth="1" min="12" max="12" width="10.13"/>
    <col customWidth="1" min="13" max="20" width="8.88"/>
    <col customWidth="1" min="21" max="21" width="7.75"/>
    <col customWidth="1" min="22" max="22" width="8.38"/>
    <col customWidth="1" min="23" max="23" width="7.88"/>
  </cols>
  <sheetData>
    <row r="1">
      <c r="A1" s="1"/>
      <c r="D1" s="2" t="s">
        <v>0</v>
      </c>
      <c r="F1" s="2" t="s">
        <v>1</v>
      </c>
      <c r="H1" s="3" t="s">
        <v>2</v>
      </c>
      <c r="J1" s="3" t="s">
        <v>3</v>
      </c>
      <c r="L1" s="1"/>
      <c r="M1" s="4"/>
      <c r="N1" s="4" t="s">
        <v>4</v>
      </c>
      <c r="P1" s="4" t="s">
        <v>5</v>
      </c>
      <c r="R1" s="5" t="s">
        <v>6</v>
      </c>
      <c r="S1" s="5"/>
      <c r="T1" s="5" t="s">
        <v>7</v>
      </c>
    </row>
    <row r="2">
      <c r="B2" s="1" t="s">
        <v>8</v>
      </c>
      <c r="C2" s="1" t="s">
        <v>9</v>
      </c>
      <c r="D2" s="1" t="s">
        <v>10</v>
      </c>
      <c r="E2" s="1" t="s">
        <v>11</v>
      </c>
      <c r="F2" s="1" t="s">
        <v>10</v>
      </c>
      <c r="G2" s="1" t="s">
        <v>11</v>
      </c>
      <c r="H2" s="1" t="s">
        <v>10</v>
      </c>
      <c r="I2" s="1" t="s">
        <v>11</v>
      </c>
      <c r="J2" s="1" t="s">
        <v>10</v>
      </c>
      <c r="K2" s="1" t="s">
        <v>11</v>
      </c>
      <c r="L2" s="1" t="s">
        <v>12</v>
      </c>
      <c r="M2" s="5"/>
      <c r="N2" s="5" t="s">
        <v>13</v>
      </c>
      <c r="O2" s="5" t="s">
        <v>14</v>
      </c>
      <c r="P2" s="5" t="s">
        <v>10</v>
      </c>
      <c r="Q2" s="5" t="s">
        <v>11</v>
      </c>
      <c r="R2" s="5" t="s">
        <v>15</v>
      </c>
      <c r="S2" s="5"/>
      <c r="U2" s="1" t="s">
        <v>16</v>
      </c>
      <c r="V2" s="1" t="s">
        <v>2</v>
      </c>
      <c r="W2" s="1" t="s">
        <v>17</v>
      </c>
    </row>
    <row r="3">
      <c r="A3" s="1" t="s">
        <v>18</v>
      </c>
      <c r="B3" s="1">
        <v>1.0</v>
      </c>
      <c r="C3" s="1">
        <v>11.0</v>
      </c>
      <c r="D3" s="1">
        <f t="shared" ref="D3:D12" si="3">((4*C3)/11)*B3</f>
        <v>4</v>
      </c>
      <c r="E3" s="1">
        <f t="shared" ref="E3:E12" si="4">((4*C3)/11)*B3</f>
        <v>4</v>
      </c>
      <c r="F3" s="1">
        <f t="shared" ref="F3:F12" si="5">(U3/11)*B3</f>
        <v>1</v>
      </c>
      <c r="G3" s="1">
        <f t="shared" ref="G3:G12" si="6">(U3/11)*B3</f>
        <v>1</v>
      </c>
      <c r="H3" s="1">
        <f t="shared" ref="H3:H12" si="7">(U3/11)*B3</f>
        <v>1</v>
      </c>
      <c r="I3" s="1">
        <f t="shared" ref="I3:I12" si="8">(U3/11)*B3</f>
        <v>1</v>
      </c>
      <c r="J3" s="1">
        <f t="shared" ref="J3:J12" si="9">(U3/11)*B3</f>
        <v>1</v>
      </c>
      <c r="K3" s="1">
        <f t="shared" ref="K3:K12" si="10">(U3/11)*B3</f>
        <v>1</v>
      </c>
      <c r="L3" s="1">
        <f t="shared" ref="L3:L12" si="11">(U3/11)*B3</f>
        <v>1</v>
      </c>
      <c r="M3" s="1"/>
      <c r="N3" s="1">
        <f t="shared" ref="N3:O3" si="1">D3</f>
        <v>4</v>
      </c>
      <c r="O3" s="1">
        <f t="shared" si="1"/>
        <v>4</v>
      </c>
      <c r="P3" s="1">
        <f t="shared" ref="P3:Q3" si="2">F3+H3+J3</f>
        <v>3</v>
      </c>
      <c r="Q3" s="1">
        <f t="shared" si="2"/>
        <v>3</v>
      </c>
      <c r="R3" s="1">
        <v>1.0</v>
      </c>
      <c r="S3" s="1"/>
      <c r="T3" s="1">
        <f t="shared" ref="T3:T12" si="14">4*C3</f>
        <v>44</v>
      </c>
      <c r="U3" s="1">
        <f t="shared" ref="U3:U13" si="15">C3</f>
        <v>11</v>
      </c>
      <c r="V3" s="1">
        <f t="shared" ref="V3:V12" si="16">C3</f>
        <v>11</v>
      </c>
      <c r="W3" s="1">
        <f t="shared" ref="W3:W12" si="17">C3</f>
        <v>11</v>
      </c>
      <c r="Y3" s="6">
        <f>sum(T3:W3)</f>
        <v>77</v>
      </c>
    </row>
    <row r="4">
      <c r="A4" s="1" t="s">
        <v>19</v>
      </c>
      <c r="B4" s="1">
        <v>1.0</v>
      </c>
      <c r="C4" s="1">
        <v>11.0</v>
      </c>
      <c r="D4" s="1">
        <f t="shared" si="3"/>
        <v>4</v>
      </c>
      <c r="E4" s="1">
        <f t="shared" si="4"/>
        <v>4</v>
      </c>
      <c r="F4" s="1">
        <f t="shared" si="5"/>
        <v>1</v>
      </c>
      <c r="G4" s="1">
        <f t="shared" si="6"/>
        <v>1</v>
      </c>
      <c r="H4" s="1">
        <f t="shared" si="7"/>
        <v>1</v>
      </c>
      <c r="I4" s="1">
        <f t="shared" si="8"/>
        <v>1</v>
      </c>
      <c r="J4" s="1">
        <f t="shared" si="9"/>
        <v>1</v>
      </c>
      <c r="K4" s="1">
        <f t="shared" si="10"/>
        <v>1</v>
      </c>
      <c r="L4" s="1">
        <f t="shared" si="11"/>
        <v>1</v>
      </c>
      <c r="M4" s="1"/>
      <c r="N4" s="1">
        <f t="shared" ref="N4:O4" si="12">D4</f>
        <v>4</v>
      </c>
      <c r="O4" s="1">
        <f t="shared" si="12"/>
        <v>4</v>
      </c>
      <c r="P4" s="1">
        <f t="shared" ref="P4:Q4" si="13">F4+H4+J4</f>
        <v>3</v>
      </c>
      <c r="Q4" s="1">
        <f t="shared" si="13"/>
        <v>3</v>
      </c>
      <c r="R4" s="1">
        <v>1.0</v>
      </c>
      <c r="S4" s="1"/>
      <c r="T4" s="1">
        <f t="shared" si="14"/>
        <v>44</v>
      </c>
      <c r="U4" s="1">
        <f t="shared" si="15"/>
        <v>11</v>
      </c>
      <c r="V4" s="1">
        <f t="shared" si="16"/>
        <v>11</v>
      </c>
      <c r="W4" s="1">
        <f t="shared" si="17"/>
        <v>11</v>
      </c>
    </row>
    <row r="5">
      <c r="A5" s="1" t="s">
        <v>20</v>
      </c>
      <c r="B5" s="1">
        <v>1.0</v>
      </c>
      <c r="C5" s="1">
        <v>11.0</v>
      </c>
      <c r="D5" s="1">
        <f t="shared" si="3"/>
        <v>4</v>
      </c>
      <c r="E5" s="1">
        <f t="shared" si="4"/>
        <v>4</v>
      </c>
      <c r="F5" s="1">
        <f t="shared" si="5"/>
        <v>1</v>
      </c>
      <c r="G5" s="1">
        <f t="shared" si="6"/>
        <v>1</v>
      </c>
      <c r="H5" s="1">
        <f t="shared" si="7"/>
        <v>1</v>
      </c>
      <c r="I5" s="1">
        <f t="shared" si="8"/>
        <v>1</v>
      </c>
      <c r="J5" s="1">
        <f t="shared" si="9"/>
        <v>1</v>
      </c>
      <c r="K5" s="1">
        <f t="shared" si="10"/>
        <v>1</v>
      </c>
      <c r="L5" s="1">
        <f t="shared" si="11"/>
        <v>1</v>
      </c>
      <c r="M5" s="1"/>
      <c r="N5" s="1">
        <f t="shared" ref="N5:O5" si="18">D5</f>
        <v>4</v>
      </c>
      <c r="O5" s="1">
        <f t="shared" si="18"/>
        <v>4</v>
      </c>
      <c r="P5" s="1">
        <f t="shared" ref="P5:Q5" si="19">F5+H5+J5</f>
        <v>3</v>
      </c>
      <c r="Q5" s="1">
        <f t="shared" si="19"/>
        <v>3</v>
      </c>
      <c r="R5" s="1">
        <v>1.0</v>
      </c>
      <c r="S5" s="1"/>
      <c r="T5" s="1">
        <f t="shared" si="14"/>
        <v>44</v>
      </c>
      <c r="U5" s="1">
        <f t="shared" si="15"/>
        <v>11</v>
      </c>
      <c r="V5" s="1">
        <f t="shared" si="16"/>
        <v>11</v>
      </c>
      <c r="W5" s="1">
        <f t="shared" si="17"/>
        <v>11</v>
      </c>
    </row>
    <row r="6">
      <c r="A6" s="1" t="s">
        <v>21</v>
      </c>
      <c r="B6" s="1">
        <v>1.0</v>
      </c>
      <c r="C6" s="1">
        <v>11.0</v>
      </c>
      <c r="D6" s="1">
        <f t="shared" si="3"/>
        <v>4</v>
      </c>
      <c r="E6" s="1">
        <f t="shared" si="4"/>
        <v>4</v>
      </c>
      <c r="F6" s="1">
        <f t="shared" si="5"/>
        <v>1</v>
      </c>
      <c r="G6" s="1">
        <f t="shared" si="6"/>
        <v>1</v>
      </c>
      <c r="H6" s="1">
        <f t="shared" si="7"/>
        <v>1</v>
      </c>
      <c r="I6" s="1">
        <f t="shared" si="8"/>
        <v>1</v>
      </c>
      <c r="J6" s="1">
        <f t="shared" si="9"/>
        <v>1</v>
      </c>
      <c r="K6" s="1">
        <f t="shared" si="10"/>
        <v>1</v>
      </c>
      <c r="L6" s="1">
        <f t="shared" si="11"/>
        <v>1</v>
      </c>
      <c r="M6" s="1"/>
      <c r="N6" s="1">
        <f t="shared" ref="N6:O6" si="20">D6</f>
        <v>4</v>
      </c>
      <c r="O6" s="1">
        <f t="shared" si="20"/>
        <v>4</v>
      </c>
      <c r="P6" s="1">
        <f t="shared" ref="P6:Q6" si="21">F6+H6+J6</f>
        <v>3</v>
      </c>
      <c r="Q6" s="1">
        <f t="shared" si="21"/>
        <v>3</v>
      </c>
      <c r="R6" s="1">
        <v>1.0</v>
      </c>
      <c r="S6" s="1"/>
      <c r="T6" s="1">
        <f t="shared" si="14"/>
        <v>44</v>
      </c>
      <c r="U6" s="1">
        <f t="shared" si="15"/>
        <v>11</v>
      </c>
      <c r="V6" s="1">
        <f t="shared" si="16"/>
        <v>11</v>
      </c>
      <c r="W6" s="1">
        <f t="shared" si="17"/>
        <v>11</v>
      </c>
    </row>
    <row r="7">
      <c r="A7" s="1" t="s">
        <v>22</v>
      </c>
      <c r="B7" s="1">
        <v>1.0</v>
      </c>
      <c r="C7" s="1">
        <v>11.0</v>
      </c>
      <c r="D7" s="1">
        <f t="shared" si="3"/>
        <v>4</v>
      </c>
      <c r="E7" s="1">
        <f t="shared" si="4"/>
        <v>4</v>
      </c>
      <c r="F7" s="1">
        <f t="shared" si="5"/>
        <v>1</v>
      </c>
      <c r="G7" s="1">
        <f t="shared" si="6"/>
        <v>1</v>
      </c>
      <c r="H7" s="1">
        <f t="shared" si="7"/>
        <v>1</v>
      </c>
      <c r="I7" s="1">
        <f t="shared" si="8"/>
        <v>1</v>
      </c>
      <c r="J7" s="1">
        <f t="shared" si="9"/>
        <v>1</v>
      </c>
      <c r="K7" s="1">
        <f t="shared" si="10"/>
        <v>1</v>
      </c>
      <c r="L7" s="1">
        <f t="shared" si="11"/>
        <v>1</v>
      </c>
      <c r="M7" s="1"/>
      <c r="N7" s="1">
        <f t="shared" ref="N7:O7" si="22">D7</f>
        <v>4</v>
      </c>
      <c r="O7" s="1">
        <f t="shared" si="22"/>
        <v>4</v>
      </c>
      <c r="P7" s="1">
        <f t="shared" ref="P7:Q7" si="23">F7+H7+J7</f>
        <v>3</v>
      </c>
      <c r="Q7" s="1">
        <f t="shared" si="23"/>
        <v>3</v>
      </c>
      <c r="R7" s="1">
        <v>1.0</v>
      </c>
      <c r="S7" s="1"/>
      <c r="T7" s="1">
        <f t="shared" si="14"/>
        <v>44</v>
      </c>
      <c r="U7" s="1">
        <f t="shared" si="15"/>
        <v>11</v>
      </c>
      <c r="V7" s="1">
        <f t="shared" si="16"/>
        <v>11</v>
      </c>
      <c r="W7" s="1">
        <f t="shared" si="17"/>
        <v>11</v>
      </c>
    </row>
    <row r="8">
      <c r="A8" s="1" t="s">
        <v>23</v>
      </c>
      <c r="B8" s="1">
        <v>0.75</v>
      </c>
      <c r="C8" s="1">
        <v>11.0</v>
      </c>
      <c r="D8" s="1">
        <f t="shared" si="3"/>
        <v>3</v>
      </c>
      <c r="E8" s="1">
        <f t="shared" si="4"/>
        <v>3</v>
      </c>
      <c r="F8" s="1">
        <f t="shared" si="5"/>
        <v>0.75</v>
      </c>
      <c r="G8" s="1">
        <f t="shared" si="6"/>
        <v>0.75</v>
      </c>
      <c r="H8" s="1">
        <f t="shared" si="7"/>
        <v>0.75</v>
      </c>
      <c r="I8" s="1">
        <f t="shared" si="8"/>
        <v>0.75</v>
      </c>
      <c r="J8" s="1">
        <f t="shared" si="9"/>
        <v>0.75</v>
      </c>
      <c r="K8" s="1">
        <f t="shared" si="10"/>
        <v>0.75</v>
      </c>
      <c r="L8" s="1">
        <f t="shared" si="11"/>
        <v>0.75</v>
      </c>
      <c r="M8" s="1"/>
      <c r="N8" s="1">
        <f t="shared" ref="N8:O8" si="24">D8</f>
        <v>3</v>
      </c>
      <c r="O8" s="1">
        <f t="shared" si="24"/>
        <v>3</v>
      </c>
      <c r="P8" s="1">
        <f t="shared" ref="P8:Q8" si="25">F8+H8+J8</f>
        <v>2.25</v>
      </c>
      <c r="Q8" s="1">
        <f t="shared" si="25"/>
        <v>2.25</v>
      </c>
      <c r="R8" s="1">
        <v>1.0</v>
      </c>
      <c r="S8" s="1"/>
      <c r="T8" s="1">
        <f t="shared" si="14"/>
        <v>44</v>
      </c>
      <c r="U8" s="1">
        <f t="shared" si="15"/>
        <v>11</v>
      </c>
      <c r="V8" s="1">
        <f t="shared" si="16"/>
        <v>11</v>
      </c>
      <c r="W8" s="1">
        <f t="shared" si="17"/>
        <v>11</v>
      </c>
    </row>
    <row r="9">
      <c r="A9" s="1" t="s">
        <v>24</v>
      </c>
      <c r="B9" s="1">
        <v>0.5</v>
      </c>
      <c r="C9" s="1">
        <v>11.0</v>
      </c>
      <c r="D9" s="1">
        <f t="shared" si="3"/>
        <v>2</v>
      </c>
      <c r="E9" s="1">
        <f t="shared" si="4"/>
        <v>2</v>
      </c>
      <c r="F9" s="1">
        <f t="shared" si="5"/>
        <v>0.5</v>
      </c>
      <c r="G9" s="1">
        <f t="shared" si="6"/>
        <v>0.5</v>
      </c>
      <c r="H9" s="1">
        <f t="shared" si="7"/>
        <v>0.5</v>
      </c>
      <c r="I9" s="1">
        <f t="shared" si="8"/>
        <v>0.5</v>
      </c>
      <c r="J9" s="1">
        <f t="shared" si="9"/>
        <v>0.5</v>
      </c>
      <c r="K9" s="1">
        <f t="shared" si="10"/>
        <v>0.5</v>
      </c>
      <c r="L9" s="1">
        <f t="shared" si="11"/>
        <v>0.5</v>
      </c>
      <c r="M9" s="1"/>
      <c r="N9" s="1">
        <f t="shared" ref="N9:O9" si="26">D9</f>
        <v>2</v>
      </c>
      <c r="O9" s="1">
        <f t="shared" si="26"/>
        <v>2</v>
      </c>
      <c r="P9" s="1">
        <f t="shared" ref="P9:Q9" si="27">F9+H9+J9</f>
        <v>1.5</v>
      </c>
      <c r="Q9" s="1">
        <f t="shared" si="27"/>
        <v>1.5</v>
      </c>
      <c r="R9" s="1">
        <v>1.0</v>
      </c>
      <c r="S9" s="1"/>
      <c r="T9" s="1">
        <f t="shared" si="14"/>
        <v>44</v>
      </c>
      <c r="U9" s="1">
        <f t="shared" si="15"/>
        <v>11</v>
      </c>
      <c r="V9" s="1">
        <f t="shared" si="16"/>
        <v>11</v>
      </c>
      <c r="W9" s="1">
        <f t="shared" si="17"/>
        <v>11</v>
      </c>
    </row>
    <row r="10">
      <c r="A10" s="1" t="s">
        <v>25</v>
      </c>
      <c r="B10" s="1">
        <v>0.75</v>
      </c>
      <c r="C10" s="1">
        <v>11.0</v>
      </c>
      <c r="D10" s="1">
        <f t="shared" si="3"/>
        <v>3</v>
      </c>
      <c r="E10" s="1">
        <f t="shared" si="4"/>
        <v>3</v>
      </c>
      <c r="F10" s="1">
        <f t="shared" si="5"/>
        <v>0.75</v>
      </c>
      <c r="G10" s="1">
        <f t="shared" si="6"/>
        <v>0.75</v>
      </c>
      <c r="H10" s="1">
        <f t="shared" si="7"/>
        <v>0.75</v>
      </c>
      <c r="I10" s="1">
        <f t="shared" si="8"/>
        <v>0.75</v>
      </c>
      <c r="J10" s="1">
        <f t="shared" si="9"/>
        <v>0.75</v>
      </c>
      <c r="K10" s="1">
        <f t="shared" si="10"/>
        <v>0.75</v>
      </c>
      <c r="L10" s="1">
        <f t="shared" si="11"/>
        <v>0.75</v>
      </c>
      <c r="M10" s="1"/>
      <c r="N10" s="1">
        <f t="shared" ref="N10:O10" si="28">D10</f>
        <v>3</v>
      </c>
      <c r="O10" s="1">
        <f t="shared" si="28"/>
        <v>3</v>
      </c>
      <c r="P10" s="1">
        <f t="shared" ref="P10:Q10" si="29">F10+H10+J10</f>
        <v>2.25</v>
      </c>
      <c r="Q10" s="1">
        <f t="shared" si="29"/>
        <v>2.25</v>
      </c>
      <c r="R10" s="1">
        <v>1.0</v>
      </c>
      <c r="S10" s="1"/>
      <c r="T10" s="1">
        <f t="shared" si="14"/>
        <v>44</v>
      </c>
      <c r="U10" s="1">
        <f t="shared" si="15"/>
        <v>11</v>
      </c>
      <c r="V10" s="1">
        <f t="shared" si="16"/>
        <v>11</v>
      </c>
      <c r="W10" s="1">
        <f t="shared" si="17"/>
        <v>11</v>
      </c>
    </row>
    <row r="11">
      <c r="A11" s="1" t="s">
        <v>26</v>
      </c>
      <c r="B11" s="1">
        <v>0.75</v>
      </c>
      <c r="C11" s="1">
        <v>11.0</v>
      </c>
      <c r="D11" s="1">
        <f t="shared" si="3"/>
        <v>3</v>
      </c>
      <c r="E11" s="1">
        <f t="shared" si="4"/>
        <v>3</v>
      </c>
      <c r="F11" s="1">
        <f t="shared" si="5"/>
        <v>0.75</v>
      </c>
      <c r="G11" s="1">
        <f t="shared" si="6"/>
        <v>0.75</v>
      </c>
      <c r="H11" s="1">
        <f t="shared" si="7"/>
        <v>0.75</v>
      </c>
      <c r="I11" s="1">
        <f t="shared" si="8"/>
        <v>0.75</v>
      </c>
      <c r="J11" s="1">
        <f t="shared" si="9"/>
        <v>0.75</v>
      </c>
      <c r="K11" s="1">
        <f t="shared" si="10"/>
        <v>0.75</v>
      </c>
      <c r="L11" s="1">
        <f t="shared" si="11"/>
        <v>0.75</v>
      </c>
      <c r="M11" s="1"/>
      <c r="N11" s="1">
        <f t="shared" ref="N11:O11" si="30">D11</f>
        <v>3</v>
      </c>
      <c r="O11" s="1">
        <f t="shared" si="30"/>
        <v>3</v>
      </c>
      <c r="P11" s="1">
        <f t="shared" ref="P11:Q11" si="31">F11+H11+J11</f>
        <v>2.25</v>
      </c>
      <c r="Q11" s="1">
        <f t="shared" si="31"/>
        <v>2.25</v>
      </c>
      <c r="R11" s="1">
        <v>1.0</v>
      </c>
      <c r="S11" s="1"/>
      <c r="T11" s="1">
        <f t="shared" si="14"/>
        <v>44</v>
      </c>
      <c r="U11" s="1">
        <f t="shared" si="15"/>
        <v>11</v>
      </c>
      <c r="V11" s="1">
        <f t="shared" si="16"/>
        <v>11</v>
      </c>
      <c r="W11" s="1">
        <f t="shared" si="17"/>
        <v>11</v>
      </c>
    </row>
    <row r="12">
      <c r="A12" s="1" t="s">
        <v>27</v>
      </c>
      <c r="B12" s="1">
        <v>1.0</v>
      </c>
      <c r="C12" s="1">
        <v>11.0</v>
      </c>
      <c r="D12" s="1">
        <f t="shared" si="3"/>
        <v>4</v>
      </c>
      <c r="E12" s="1">
        <f t="shared" si="4"/>
        <v>4</v>
      </c>
      <c r="F12" s="1">
        <f t="shared" si="5"/>
        <v>1</v>
      </c>
      <c r="G12" s="1">
        <f t="shared" si="6"/>
        <v>1</v>
      </c>
      <c r="H12" s="1">
        <f t="shared" si="7"/>
        <v>1</v>
      </c>
      <c r="I12" s="1">
        <f t="shared" si="8"/>
        <v>1</v>
      </c>
      <c r="J12" s="1">
        <f t="shared" si="9"/>
        <v>1</v>
      </c>
      <c r="K12" s="1">
        <f t="shared" si="10"/>
        <v>1</v>
      </c>
      <c r="L12" s="1">
        <f t="shared" si="11"/>
        <v>1</v>
      </c>
      <c r="M12" s="1"/>
      <c r="N12" s="1">
        <f t="shared" ref="N12:O12" si="32">D12</f>
        <v>4</v>
      </c>
      <c r="O12" s="1">
        <f t="shared" si="32"/>
        <v>4</v>
      </c>
      <c r="P12" s="1">
        <f t="shared" ref="P12:Q12" si="33">F12+H12+J12</f>
        <v>3</v>
      </c>
      <c r="Q12" s="1">
        <f t="shared" si="33"/>
        <v>3</v>
      </c>
      <c r="R12" s="1">
        <v>1.0</v>
      </c>
      <c r="S12" s="1"/>
      <c r="T12" s="1">
        <f t="shared" si="14"/>
        <v>44</v>
      </c>
      <c r="U12" s="1">
        <f t="shared" si="15"/>
        <v>11</v>
      </c>
      <c r="V12" s="1">
        <f t="shared" si="16"/>
        <v>11</v>
      </c>
      <c r="W12" s="1">
        <f t="shared" si="17"/>
        <v>11</v>
      </c>
    </row>
    <row r="13">
      <c r="U13" s="1" t="str">
        <f t="shared" si="15"/>
        <v/>
      </c>
    </row>
    <row r="14">
      <c r="B14" s="6">
        <f>SUM(B2:B12)</f>
        <v>8.75</v>
      </c>
    </row>
  </sheetData>
  <mergeCells count="7">
    <mergeCell ref="D1:E1"/>
    <mergeCell ref="F1:G1"/>
    <mergeCell ref="H1:I1"/>
    <mergeCell ref="J1:K1"/>
    <mergeCell ref="N1:O1"/>
    <mergeCell ref="P1:Q1"/>
    <mergeCell ref="T1:T2"/>
  </mergeCells>
  <drawing r:id="rId1"/>
</worksheet>
</file>